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04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ownload\"/>
    </mc:Choice>
  </mc:AlternateContent>
  <xr:revisionPtr revIDLastSave="0" documentId="13_ncr:1_{F616CED3-7C0B-4257-8B7C-454DE1EB0C52}" xr6:coauthVersionLast="36" xr6:coauthVersionMax="36" xr10:uidLastSave="{00000000-0000-0000-0000-000000000000}"/>
  <bookViews>
    <workbookView xWindow="0" yWindow="0" windowWidth="23040" windowHeight="8940" xr2:uid="{00000000-000D-0000-FFFF-FFFF00000000}"/>
  </bookViews>
  <sheets>
    <sheet name="Table 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H12" i="1" l="1"/>
  <c r="L12" i="1" s="1"/>
  <c r="H13" i="1"/>
  <c r="H14" i="1"/>
  <c r="H15" i="1"/>
  <c r="H16" i="1"/>
  <c r="L16" i="1" s="1"/>
  <c r="H17" i="1"/>
  <c r="H18" i="1"/>
  <c r="L18" i="1" s="1"/>
  <c r="H19" i="1"/>
  <c r="L19" i="1" s="1"/>
  <c r="H20" i="1"/>
  <c r="J20" i="1" s="1"/>
  <c r="H21" i="1"/>
  <c r="H22" i="1"/>
  <c r="H23" i="1"/>
  <c r="H24" i="1"/>
  <c r="H25" i="1"/>
  <c r="H26" i="1"/>
  <c r="H27" i="1"/>
  <c r="L14" i="1"/>
  <c r="J25" i="1" l="1"/>
  <c r="J17" i="1"/>
  <c r="J19" i="1"/>
  <c r="N19" i="1" s="1"/>
  <c r="J18" i="1"/>
  <c r="N18" i="1" s="1"/>
  <c r="J24" i="1"/>
  <c r="J23" i="1"/>
  <c r="J15" i="1"/>
  <c r="J22" i="1"/>
  <c r="J14" i="1"/>
  <c r="N14" i="1" s="1"/>
  <c r="J12" i="1"/>
  <c r="N12" i="1" s="1"/>
  <c r="J27" i="1"/>
  <c r="J26" i="1"/>
  <c r="J16" i="1"/>
  <c r="N16" i="1" s="1"/>
  <c r="J21" i="1"/>
  <c r="J13" i="1"/>
  <c r="L13" i="1" l="1"/>
  <c r="N13" i="1" s="1"/>
  <c r="L15" i="1"/>
  <c r="N15" i="1" s="1"/>
  <c r="L17" i="1"/>
  <c r="N17" i="1" s="1"/>
  <c r="L21" i="1"/>
  <c r="N21" i="1" s="1"/>
  <c r="L22" i="1"/>
  <c r="N22" i="1" s="1"/>
  <c r="L23" i="1"/>
  <c r="N23" i="1" s="1"/>
  <c r="L27" i="1"/>
  <c r="N27" i="1" s="1"/>
  <c r="H11" i="1"/>
  <c r="L11" i="1" s="1"/>
  <c r="D28" i="1"/>
  <c r="L25" i="1" l="1"/>
  <c r="N25" i="1" s="1"/>
  <c r="L24" i="1"/>
  <c r="N24" i="1" s="1"/>
  <c r="L20" i="1"/>
  <c r="N20" i="1" s="1"/>
  <c r="L26" i="1"/>
  <c r="N26" i="1" s="1"/>
  <c r="J11" i="1"/>
  <c r="N11" i="1" s="1"/>
  <c r="H28" i="1"/>
  <c r="N28" i="1" l="1"/>
  <c r="L34" i="1" s="1"/>
  <c r="I28" i="1"/>
  <c r="L30" i="1" s="1"/>
  <c r="K28" i="1"/>
  <c r="L31" i="1" s="1"/>
  <c r="A31" i="1"/>
  <c r="L33" i="1" l="1"/>
</calcChain>
</file>

<file path=xl/sharedStrings.xml><?xml version="1.0" encoding="utf-8"?>
<sst xmlns="http://schemas.openxmlformats.org/spreadsheetml/2006/main" count="57" uniqueCount="38">
  <si>
    <r>
      <rPr>
        <b/>
        <sz val="8"/>
        <rFont val="Trebuchet MS"/>
        <family val="2"/>
      </rPr>
      <t xml:space="preserve">Sr.
</t>
    </r>
    <r>
      <rPr>
        <b/>
        <sz val="8"/>
        <rFont val="Trebuchet MS"/>
        <family val="2"/>
      </rPr>
      <t>No.</t>
    </r>
  </si>
  <si>
    <r>
      <rPr>
        <b/>
        <sz val="8"/>
        <rFont val="Trebuchet MS"/>
        <family val="2"/>
      </rPr>
      <t>Name of product</t>
    </r>
  </si>
  <si>
    <r>
      <rPr>
        <b/>
        <sz val="8"/>
        <rFont val="Trebuchet MS"/>
        <family val="2"/>
      </rPr>
      <t>HSN/SAC</t>
    </r>
  </si>
  <si>
    <r>
      <rPr>
        <b/>
        <sz val="8"/>
        <rFont val="Trebuchet MS"/>
        <family val="2"/>
      </rPr>
      <t>QTY</t>
    </r>
  </si>
  <si>
    <r>
      <rPr>
        <b/>
        <sz val="8"/>
        <rFont val="Trebuchet MS"/>
        <family val="2"/>
      </rPr>
      <t>Unit</t>
    </r>
  </si>
  <si>
    <r>
      <rPr>
        <b/>
        <sz val="8"/>
        <rFont val="Trebuchet MS"/>
        <family val="2"/>
      </rPr>
      <t>Rate</t>
    </r>
  </si>
  <si>
    <r>
      <rPr>
        <b/>
        <sz val="8"/>
        <rFont val="Trebuchet MS"/>
        <family val="2"/>
      </rPr>
      <t>Taxable Value</t>
    </r>
  </si>
  <si>
    <r>
      <rPr>
        <b/>
        <sz val="8"/>
        <rFont val="Trebuchet MS"/>
        <family val="2"/>
      </rPr>
      <t>CGST</t>
    </r>
  </si>
  <si>
    <r>
      <rPr>
        <b/>
        <sz val="8"/>
        <rFont val="Trebuchet MS"/>
        <family val="2"/>
      </rPr>
      <t>SGST</t>
    </r>
  </si>
  <si>
    <r>
      <rPr>
        <b/>
        <sz val="8"/>
        <rFont val="Trebuchet MS"/>
        <family val="2"/>
      </rPr>
      <t>Total</t>
    </r>
  </si>
  <si>
    <r>
      <rPr>
        <b/>
        <sz val="8"/>
        <rFont val="Trebuchet MS"/>
        <family val="2"/>
      </rPr>
      <t>Amount</t>
    </r>
  </si>
  <si>
    <r>
      <rPr>
        <sz val="8"/>
        <rFont val="Trebuchet MS"/>
        <family val="2"/>
      </rPr>
      <t>Shoe Cover</t>
    </r>
  </si>
  <si>
    <r>
      <rPr>
        <sz val="8"/>
        <rFont val="Trebuchet MS"/>
        <family val="2"/>
      </rPr>
      <t>PRS</t>
    </r>
  </si>
  <si>
    <r>
      <rPr>
        <b/>
        <sz val="8"/>
        <rFont val="Trebuchet MS"/>
        <family val="2"/>
      </rPr>
      <t>Total Quantity</t>
    </r>
  </si>
  <si>
    <r>
      <rPr>
        <sz val="8"/>
        <rFont val="Trebuchet MS"/>
        <family val="2"/>
      </rPr>
      <t>Total Amount Before Tax    :</t>
    </r>
  </si>
  <si>
    <r>
      <rPr>
        <sz val="8"/>
        <rFont val="Trebuchet MS"/>
        <family val="2"/>
      </rPr>
      <t>₹</t>
    </r>
    <r>
      <rPr>
        <b/>
        <sz val="8"/>
        <rFont val="Trebuchet MS"/>
        <family val="2"/>
      </rPr>
      <t>3,000.00</t>
    </r>
  </si>
  <si>
    <r>
      <rPr>
        <b/>
        <sz val="7.5"/>
        <rFont val="Trebuchet MS"/>
        <family val="2"/>
      </rPr>
      <t>Total Invoice Amount in words</t>
    </r>
  </si>
  <si>
    <r>
      <rPr>
        <sz val="8"/>
        <rFont val="Trebuchet MS"/>
        <family val="2"/>
      </rPr>
      <t>Tax Amount : GST               :</t>
    </r>
  </si>
  <si>
    <r>
      <rPr>
        <sz val="8"/>
        <rFont val="Trebuchet MS"/>
        <family val="2"/>
      </rPr>
      <t>Amount With Tax                :</t>
    </r>
  </si>
  <si>
    <r>
      <rPr>
        <b/>
        <sz val="8"/>
        <rFont val="Trebuchet MS"/>
        <family val="2"/>
      </rPr>
      <t>Terms And Conditions</t>
    </r>
  </si>
  <si>
    <r>
      <rPr>
        <sz val="8"/>
        <rFont val="Trebuchet MS"/>
        <family val="2"/>
      </rPr>
      <t>Certified that the particular given above are true and correct</t>
    </r>
  </si>
  <si>
    <r>
      <rPr>
        <sz val="7.5"/>
        <rFont val="Trebuchet MS"/>
        <family val="2"/>
      </rPr>
      <t xml:space="preserve">1. This is an electronically generated document.
</t>
    </r>
    <r>
      <rPr>
        <sz val="7.5"/>
        <rFont val="Trebuchet MS"/>
        <family val="2"/>
      </rPr>
      <t>2. All disputes are subject to AURANGABAD jurisdiction</t>
    </r>
  </si>
  <si>
    <r>
      <rPr>
        <b/>
        <sz val="9.5"/>
        <rFont val="Trebuchet MS"/>
        <family val="2"/>
      </rPr>
      <t>For, SUDHAI ENTERPRISES</t>
    </r>
  </si>
  <si>
    <r>
      <rPr>
        <sz val="8"/>
        <rFont val="Trebuchet MS"/>
        <family val="2"/>
      </rPr>
      <t>Authorised Signatory</t>
    </r>
  </si>
  <si>
    <t>Cover</t>
  </si>
  <si>
    <t>TAX INVOICE</t>
  </si>
  <si>
    <t xml:space="preserve">M/s   :  </t>
  </si>
  <si>
    <t xml:space="preserve">Dt : </t>
  </si>
  <si>
    <t>Dt :</t>
  </si>
  <si>
    <t xml:space="preserve">Party's GSTIN No:    </t>
  </si>
  <si>
    <t>Date of Supply                    :  10-11-2023</t>
  </si>
  <si>
    <t>P.O No.                               :</t>
  </si>
  <si>
    <t>Amount</t>
  </si>
  <si>
    <t>Invoice No.                         :</t>
  </si>
  <si>
    <t>D.C. No.                              :</t>
  </si>
  <si>
    <t>Add : CGST                        :</t>
  </si>
  <si>
    <t>Add : SGST                        :</t>
  </si>
  <si>
    <r>
      <rPr>
        <b/>
        <sz val="26"/>
        <rFont val="Sitka Text Semibold"/>
      </rPr>
      <t>SUDHAI ENTERPRISES</t>
    </r>
    <r>
      <rPr>
        <b/>
        <sz val="11.5"/>
        <rFont val="Trebuchet MS"/>
        <family val="2"/>
      </rPr>
      <t xml:space="preserve">
</t>
    </r>
    <r>
      <rPr>
        <b/>
        <sz val="9"/>
        <rFont val="Trebuchet MS"/>
        <family val="2"/>
      </rPr>
      <t>DEOLAI ROAD, PLOT NO.22 GUT NO.92, VAIJAUNT NAGAR, SATARA PARISAR, AURANGABAD, Aurangabad,
AURANGABAD,  Maharashtra,  431005,</t>
    </r>
    <r>
      <rPr>
        <b/>
        <sz val="8.5"/>
        <rFont val="Trebuchet MS"/>
        <family val="2"/>
      </rPr>
      <t xml:space="preserve">
</t>
    </r>
    <r>
      <rPr>
        <b/>
        <sz val="9"/>
        <rFont val="Trebuchet MS"/>
        <family val="2"/>
      </rPr>
      <t>9370575500,
sudhaienterprises@gmail.com</t>
    </r>
    <r>
      <rPr>
        <b/>
        <sz val="8.5"/>
        <rFont val="Trebuchet MS"/>
        <family val="2"/>
      </rPr>
      <t xml:space="preserve">
</t>
    </r>
    <r>
      <rPr>
        <b/>
        <sz val="8"/>
        <rFont val="Trebuchet MS"/>
        <family val="2"/>
      </rPr>
      <t>GSTIN : 27AIGPD0772J1ZB PAN No: AIGPDO772J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</si>
</sst>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\₹#,##0.00"/>
    <numFmt numFmtId="167" formatCode="\₹0.00"/>
    <numFmt numFmtId="168" formatCode="_ [$₹-4009]\ * #,##0.00_ ;_ [$₹-4009]\ * \-#,##0.00_ ;_ [$₹-4009]\ * &quot;-&quot;??_ ;_ @_ "/>
  </numFmts>
  <fonts count="21" x14ac:knownFonts="1">
    <font>
      <sz val="10"/>
      <color rgb="FF000000"/>
      <name val="Times New Roman"/>
      <charset val="204"/>
    </font>
    <font>
      <b/>
      <sz val="11.5"/>
      <name val="Trebuchet MS"/>
    </font>
    <font>
      <sz val="8.5"/>
      <name val="Trebuchet MS"/>
    </font>
    <font>
      <b/>
      <sz val="8"/>
      <name val="Trebuchet MS"/>
    </font>
    <font>
      <sz val="8"/>
      <name val="Trebuchet MS"/>
    </font>
    <font>
      <sz val="8"/>
      <color rgb="FF000000"/>
      <name val="Trebuchet MS"/>
      <family val="2"/>
    </font>
    <font>
      <b/>
      <sz val="8"/>
      <color rgb="FF000000"/>
      <name val="Trebuchet MS"/>
      <family val="2"/>
    </font>
    <font>
      <b/>
      <sz val="7.5"/>
      <name val="Trebuchet MS"/>
    </font>
    <font>
      <b/>
      <sz val="9.5"/>
      <name val="Trebuchet MS"/>
    </font>
    <font>
      <b/>
      <sz val="11.5"/>
      <name val="Trebuchet MS"/>
      <family val="2"/>
    </font>
    <font>
      <b/>
      <sz val="8.5"/>
      <name val="Trebuchet MS"/>
      <family val="2"/>
    </font>
    <font>
      <b/>
      <sz val="8"/>
      <name val="Trebuchet MS"/>
      <family val="2"/>
    </font>
    <font>
      <sz val="8.5"/>
      <name val="Trebuchet MS"/>
      <family val="2"/>
    </font>
    <font>
      <sz val="8"/>
      <name val="Trebuchet MS"/>
      <family val="2"/>
    </font>
    <font>
      <b/>
      <sz val="7.5"/>
      <name val="Trebuchet MS"/>
      <family val="2"/>
    </font>
    <font>
      <sz val="9"/>
      <name val="Trebuchet MS"/>
      <family val="2"/>
    </font>
    <font>
      <sz val="7.5"/>
      <name val="Trebuchet MS"/>
      <family val="2"/>
    </font>
    <font>
      <b/>
      <sz val="9.5"/>
      <name val="Trebuchet MS"/>
      <family val="2"/>
    </font>
    <font>
      <b/>
      <sz val="10"/>
      <name val="Trebuchet MS"/>
      <family val="2"/>
    </font>
    <font>
      <b/>
      <sz val="9"/>
      <name val="Trebuchet MS"/>
      <family val="2"/>
    </font>
    <font>
      <b/>
      <sz val="26"/>
      <name val="Sitka Text Semibold"/>
    </font>
  </fonts>
  <fills count="3">
    <fill>
      <patternFill patternType="none"/>
    </fill>
    <fill>
      <patternFill patternType="gray125"/>
    </fill>
    <fill>
      <patternFill patternType="solid">
        <fgColor rgb="FFCCE6FD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1">
    <xf numFmtId="0" fontId="0" fillId="0" borderId="0" xfId="0" applyFill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 wrapText="1"/>
    </xf>
    <xf numFmtId="1" fontId="5" fillId="0" borderId="1" xfId="0" applyNumberFormat="1" applyFont="1" applyFill="1" applyBorder="1" applyAlignment="1">
      <alignment horizontal="center" vertical="top" shrinkToFit="1"/>
    </xf>
    <xf numFmtId="0" fontId="4" fillId="0" borderId="1" xfId="0" applyFont="1" applyFill="1" applyBorder="1" applyAlignment="1">
      <alignment horizontal="left" vertical="top" wrapText="1"/>
    </xf>
    <xf numFmtId="1" fontId="5" fillId="0" borderId="1" xfId="0" applyNumberFormat="1" applyFont="1" applyFill="1" applyBorder="1" applyAlignment="1">
      <alignment horizontal="left" vertical="top" shrinkToFit="1"/>
    </xf>
    <xf numFmtId="164" fontId="5" fillId="0" borderId="1" xfId="0" applyNumberFormat="1" applyFont="1" applyFill="1" applyBorder="1" applyAlignment="1">
      <alignment horizontal="left" vertical="top" indent="2" shrinkToFit="1"/>
    </xf>
    <xf numFmtId="165" fontId="5" fillId="0" borderId="1" xfId="0" applyNumberFormat="1" applyFont="1" applyFill="1" applyBorder="1" applyAlignment="1">
      <alignment horizontal="center" vertical="top" shrinkToFit="1"/>
    </xf>
    <xf numFmtId="166" fontId="6" fillId="2" borderId="1" xfId="0" applyNumberFormat="1" applyFont="1" applyFill="1" applyBorder="1" applyAlignment="1">
      <alignment horizontal="right" vertical="top" shrinkToFit="1"/>
    </xf>
    <xf numFmtId="0" fontId="0" fillId="0" borderId="3" xfId="0" applyFill="1" applyBorder="1" applyAlignment="1">
      <alignment vertical="top" wrapText="1"/>
    </xf>
    <xf numFmtId="0" fontId="0" fillId="0" borderId="2" xfId="0" applyFill="1" applyBorder="1" applyAlignment="1">
      <alignment vertical="top" wrapText="1"/>
    </xf>
    <xf numFmtId="164" fontId="5" fillId="0" borderId="3" xfId="0" applyNumberFormat="1" applyFont="1" applyFill="1" applyBorder="1" applyAlignment="1">
      <alignment horizontal="left" vertical="top" indent="2" shrinkToFit="1"/>
    </xf>
    <xf numFmtId="165" fontId="5" fillId="0" borderId="3" xfId="0" applyNumberFormat="1" applyFont="1" applyFill="1" applyBorder="1" applyAlignment="1">
      <alignment horizontal="center" vertical="top" shrinkToFit="1"/>
    </xf>
    <xf numFmtId="168" fontId="5" fillId="2" borderId="1" xfId="0" applyNumberFormat="1" applyFont="1" applyFill="1" applyBorder="1" applyAlignment="1">
      <alignment horizontal="right" vertical="top" shrinkToFit="1"/>
    </xf>
    <xf numFmtId="168" fontId="5" fillId="0" borderId="1" xfId="0" applyNumberFormat="1" applyFont="1" applyFill="1" applyBorder="1" applyAlignment="1">
      <alignment horizontal="center" vertical="top" shrinkToFit="1"/>
    </xf>
    <xf numFmtId="0" fontId="13" fillId="0" borderId="3" xfId="0" applyFont="1" applyFill="1" applyBorder="1" applyAlignment="1">
      <alignment horizontal="left" vertical="top" wrapText="1"/>
    </xf>
    <xf numFmtId="168" fontId="5" fillId="0" borderId="2" xfId="0" applyNumberFormat="1" applyFont="1" applyFill="1" applyBorder="1" applyAlignment="1">
      <alignment horizontal="left" vertical="top" indent="1" shrinkToFit="1"/>
    </xf>
    <xf numFmtId="0" fontId="3" fillId="0" borderId="5" xfId="0" applyFont="1" applyFill="1" applyBorder="1" applyAlignment="1">
      <alignment horizontal="left" vertical="top" wrapText="1"/>
    </xf>
    <xf numFmtId="0" fontId="3" fillId="0" borderId="6" xfId="0" applyFont="1" applyFill="1" applyBorder="1" applyAlignment="1">
      <alignment horizontal="left" vertical="top" wrapText="1"/>
    </xf>
    <xf numFmtId="0" fontId="3" fillId="0" borderId="7" xfId="0" applyFont="1" applyFill="1" applyBorder="1" applyAlignment="1">
      <alignment horizontal="left" vertical="top" wrapText="1"/>
    </xf>
    <xf numFmtId="0" fontId="4" fillId="0" borderId="5" xfId="0" applyFont="1" applyFill="1" applyBorder="1" applyAlignment="1">
      <alignment horizontal="left" vertical="top" wrapText="1"/>
    </xf>
    <xf numFmtId="0" fontId="4" fillId="0" borderId="6" xfId="0" applyFont="1" applyFill="1" applyBorder="1" applyAlignment="1">
      <alignment horizontal="left" vertical="top" wrapText="1"/>
    </xf>
    <xf numFmtId="0" fontId="4" fillId="0" borderId="7" xfId="0" applyFont="1" applyFill="1" applyBorder="1" applyAlignment="1">
      <alignment horizontal="left" vertical="top" wrapText="1"/>
    </xf>
    <xf numFmtId="0" fontId="0" fillId="0" borderId="8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8" fillId="0" borderId="8" xfId="0" applyFont="1" applyFill="1" applyBorder="1" applyAlignment="1">
      <alignment horizontal="left" vertical="top" wrapText="1" indent="4"/>
    </xf>
    <xf numFmtId="0" fontId="8" fillId="0" borderId="0" xfId="0" applyFont="1" applyFill="1" applyBorder="1" applyAlignment="1">
      <alignment horizontal="left" vertical="top" wrapText="1" indent="4"/>
    </xf>
    <xf numFmtId="0" fontId="8" fillId="0" borderId="9" xfId="0" applyFont="1" applyFill="1" applyBorder="1" applyAlignment="1">
      <alignment horizontal="left" vertical="top" wrapText="1" indent="4"/>
    </xf>
    <xf numFmtId="0" fontId="0" fillId="0" borderId="10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0" fillId="0" borderId="12" xfId="0" applyFill="1" applyBorder="1" applyAlignment="1">
      <alignment horizontal="left" vertical="top" wrapText="1"/>
    </xf>
    <xf numFmtId="0" fontId="4" fillId="0" borderId="10" xfId="0" applyFont="1" applyFill="1" applyBorder="1" applyAlignment="1">
      <alignment horizontal="left" wrapText="1" indent="8"/>
    </xf>
    <xf numFmtId="0" fontId="4" fillId="0" borderId="11" xfId="0" applyFont="1" applyFill="1" applyBorder="1" applyAlignment="1">
      <alignment horizontal="left" wrapText="1" indent="8"/>
    </xf>
    <xf numFmtId="0" fontId="4" fillId="0" borderId="12" xfId="0" applyFont="1" applyFill="1" applyBorder="1" applyAlignment="1">
      <alignment horizontal="left" wrapText="1" indent="8"/>
    </xf>
    <xf numFmtId="0" fontId="4" fillId="2" borderId="8" xfId="0" applyFont="1" applyFill="1" applyBorder="1" applyAlignment="1">
      <alignment horizontal="left" vertical="top" wrapText="1"/>
    </xf>
    <xf numFmtId="0" fontId="4" fillId="2" borderId="0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 wrapText="1"/>
    </xf>
    <xf numFmtId="167" fontId="5" fillId="2" borderId="8" xfId="0" applyNumberFormat="1" applyFont="1" applyFill="1" applyBorder="1" applyAlignment="1">
      <alignment horizontal="left" vertical="top" indent="8" shrinkToFit="1"/>
    </xf>
    <xf numFmtId="167" fontId="5" fillId="2" borderId="0" xfId="0" applyNumberFormat="1" applyFont="1" applyFill="1" applyBorder="1" applyAlignment="1">
      <alignment horizontal="left" vertical="top" indent="8" shrinkToFit="1"/>
    </xf>
    <xf numFmtId="167" fontId="5" fillId="2" borderId="9" xfId="0" applyNumberFormat="1" applyFont="1" applyFill="1" applyBorder="1" applyAlignment="1">
      <alignment horizontal="left" vertical="top" indent="8" shrinkToFit="1"/>
    </xf>
    <xf numFmtId="0" fontId="4" fillId="2" borderId="10" xfId="0" applyFont="1" applyFill="1" applyBorder="1" applyAlignment="1">
      <alignment horizontal="left" vertical="top" wrapText="1"/>
    </xf>
    <xf numFmtId="0" fontId="4" fillId="2" borderId="11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167" fontId="0" fillId="2" borderId="10" xfId="0" applyNumberFormat="1" applyFill="1" applyBorder="1" applyAlignment="1">
      <alignment horizontal="left" vertical="top" wrapText="1" indent="7"/>
    </xf>
    <xf numFmtId="0" fontId="0" fillId="2" borderId="11" xfId="0" applyFill="1" applyBorder="1" applyAlignment="1">
      <alignment horizontal="left" vertical="top" wrapText="1" indent="7"/>
    </xf>
    <xf numFmtId="0" fontId="0" fillId="2" borderId="12" xfId="0" applyFill="1" applyBorder="1" applyAlignment="1">
      <alignment horizontal="left" vertical="top" wrapText="1" indent="7"/>
    </xf>
    <xf numFmtId="167" fontId="5" fillId="0" borderId="5" xfId="0" applyNumberFormat="1" applyFont="1" applyFill="1" applyBorder="1" applyAlignment="1">
      <alignment horizontal="right" vertical="top" shrinkToFit="1"/>
    </xf>
    <xf numFmtId="167" fontId="5" fillId="0" borderId="6" xfId="0" applyNumberFormat="1" applyFont="1" applyFill="1" applyBorder="1" applyAlignment="1">
      <alignment horizontal="right" vertical="top" shrinkToFit="1"/>
    </xf>
    <xf numFmtId="167" fontId="5" fillId="0" borderId="7" xfId="0" applyNumberFormat="1" applyFont="1" applyFill="1" applyBorder="1" applyAlignment="1">
      <alignment horizontal="right" vertical="top" shrinkToFit="1"/>
    </xf>
    <xf numFmtId="0" fontId="15" fillId="0" borderId="8" xfId="0" applyFont="1" applyFill="1" applyBorder="1" applyAlignment="1">
      <alignment horizontal="center" vertical="top" wrapText="1"/>
    </xf>
    <xf numFmtId="0" fontId="4" fillId="0" borderId="11" xfId="0" applyFont="1" applyFill="1" applyBorder="1" applyAlignment="1">
      <alignment horizontal="left" vertical="top" wrapText="1"/>
    </xf>
    <xf numFmtId="0" fontId="4" fillId="0" borderId="12" xfId="0" applyFont="1" applyFill="1" applyBorder="1" applyAlignment="1">
      <alignment horizontal="left" vertical="top" wrapText="1"/>
    </xf>
    <xf numFmtId="167" fontId="5" fillId="0" borderId="10" xfId="0" applyNumberFormat="1" applyFont="1" applyFill="1" applyBorder="1" applyAlignment="1">
      <alignment horizontal="right" vertical="top" shrinkToFit="1"/>
    </xf>
    <xf numFmtId="167" fontId="5" fillId="0" borderId="11" xfId="0" applyNumberFormat="1" applyFont="1" applyFill="1" applyBorder="1" applyAlignment="1">
      <alignment horizontal="right" vertical="top" shrinkToFit="1"/>
    </xf>
    <xf numFmtId="167" fontId="5" fillId="0" borderId="12" xfId="0" applyNumberFormat="1" applyFont="1" applyFill="1" applyBorder="1" applyAlignment="1">
      <alignment horizontal="right" vertical="top" shrinkToFit="1"/>
    </xf>
    <xf numFmtId="0" fontId="0" fillId="2" borderId="5" xfId="0" applyFill="1" applyBorder="1" applyAlignment="1">
      <alignment horizontal="left" wrapText="1"/>
    </xf>
    <xf numFmtId="0" fontId="0" fillId="2" borderId="6" xfId="0" applyFill="1" applyBorder="1" applyAlignment="1">
      <alignment horizontal="left" wrapText="1"/>
    </xf>
    <xf numFmtId="0" fontId="0" fillId="2" borderId="7" xfId="0" applyFill="1" applyBorder="1" applyAlignment="1">
      <alignment horizontal="left" wrapText="1"/>
    </xf>
    <xf numFmtId="0" fontId="3" fillId="2" borderId="2" xfId="0" applyFont="1" applyFill="1" applyBorder="1" applyAlignment="1">
      <alignment horizontal="left" vertical="top" wrapText="1" indent="9"/>
    </xf>
    <xf numFmtId="0" fontId="3" fillId="2" borderId="3" xfId="0" applyFont="1" applyFill="1" applyBorder="1" applyAlignment="1">
      <alignment horizontal="left" vertical="top" wrapText="1" indent="9"/>
    </xf>
    <xf numFmtId="0" fontId="3" fillId="2" borderId="4" xfId="0" applyFont="1" applyFill="1" applyBorder="1" applyAlignment="1">
      <alignment horizontal="left" vertical="top" wrapText="1" indent="9"/>
    </xf>
    <xf numFmtId="167" fontId="6" fillId="2" borderId="2" xfId="0" applyNumberFormat="1" applyFont="1" applyFill="1" applyBorder="1" applyAlignment="1">
      <alignment horizontal="right" vertical="top" indent="3" shrinkToFit="1"/>
    </xf>
    <xf numFmtId="167" fontId="6" fillId="2" borderId="4" xfId="0" applyNumberFormat="1" applyFont="1" applyFill="1" applyBorder="1" applyAlignment="1">
      <alignment horizontal="right" vertical="top" indent="3" shrinkToFit="1"/>
    </xf>
    <xf numFmtId="167" fontId="6" fillId="2" borderId="3" xfId="0" applyNumberFormat="1" applyFont="1" applyFill="1" applyBorder="1" applyAlignment="1">
      <alignment horizontal="right" vertical="top" indent="3" shrinkToFit="1"/>
    </xf>
    <xf numFmtId="0" fontId="0" fillId="0" borderId="5" xfId="0" applyFill="1" applyBorder="1" applyAlignment="1">
      <alignment horizontal="left" wrapText="1"/>
    </xf>
    <xf numFmtId="0" fontId="0" fillId="0" borderId="6" xfId="0" applyFill="1" applyBorder="1" applyAlignment="1">
      <alignment horizontal="left" wrapText="1"/>
    </xf>
    <xf numFmtId="0" fontId="0" fillId="0" borderId="7" xfId="0" applyFill="1" applyBorder="1" applyAlignment="1">
      <alignment horizontal="left" wrapText="1"/>
    </xf>
    <xf numFmtId="0" fontId="4" fillId="2" borderId="2" xfId="0" applyFont="1" applyFill="1" applyBorder="1" applyAlignment="1">
      <alignment horizontal="left" vertical="top" wrapText="1"/>
    </xf>
    <xf numFmtId="0" fontId="4" fillId="2" borderId="3" xfId="0" applyFont="1" applyFill="1" applyBorder="1" applyAlignment="1">
      <alignment horizontal="left" vertical="top" wrapText="1"/>
    </xf>
    <xf numFmtId="0" fontId="4" fillId="2" borderId="4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 indent="7"/>
    </xf>
    <xf numFmtId="0" fontId="0" fillId="2" borderId="3" xfId="0" applyFill="1" applyBorder="1" applyAlignment="1">
      <alignment horizontal="left" vertical="top" wrapText="1" indent="7"/>
    </xf>
    <xf numFmtId="0" fontId="0" fillId="2" borderId="4" xfId="0" applyFill="1" applyBorder="1" applyAlignment="1">
      <alignment horizontal="left" vertical="top" wrapText="1" indent="7"/>
    </xf>
    <xf numFmtId="0" fontId="4" fillId="0" borderId="2" xfId="0" applyFont="1" applyFill="1" applyBorder="1" applyAlignment="1">
      <alignment horizontal="left" vertical="top" wrapText="1"/>
    </xf>
    <xf numFmtId="0" fontId="4" fillId="0" borderId="4" xfId="0" applyFont="1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3" fillId="2" borderId="13" xfId="0" applyFont="1" applyFill="1" applyBorder="1" applyAlignment="1">
      <alignment horizontal="left" vertical="center" wrapText="1" indent="1"/>
    </xf>
    <xf numFmtId="0" fontId="3" fillId="2" borderId="14" xfId="0" applyFont="1" applyFill="1" applyBorder="1" applyAlignment="1">
      <alignment horizontal="left" vertical="center" wrapText="1" indent="1"/>
    </xf>
    <xf numFmtId="0" fontId="3" fillId="2" borderId="5" xfId="0" applyFont="1" applyFill="1" applyBorder="1" applyAlignment="1">
      <alignment horizontal="left" vertical="center" wrapText="1"/>
    </xf>
    <xf numFmtId="0" fontId="3" fillId="2" borderId="7" xfId="0" applyFont="1" applyFill="1" applyBorder="1" applyAlignment="1">
      <alignment horizontal="left" vertical="center" wrapText="1"/>
    </xf>
    <xf numFmtId="0" fontId="3" fillId="2" borderId="10" xfId="0" applyFont="1" applyFill="1" applyBorder="1" applyAlignment="1">
      <alignment horizontal="left" vertical="center" wrapText="1"/>
    </xf>
    <xf numFmtId="0" fontId="3" fillId="2" borderId="12" xfId="0" applyFont="1" applyFill="1" applyBorder="1" applyAlignment="1">
      <alignment horizontal="left" vertical="center" wrapText="1"/>
    </xf>
    <xf numFmtId="0" fontId="3" fillId="2" borderId="13" xfId="0" applyFont="1" applyFill="1" applyBorder="1" applyAlignment="1">
      <alignment horizontal="left" vertical="top" wrapText="1" indent="1"/>
    </xf>
    <xf numFmtId="0" fontId="3" fillId="2" borderId="14" xfId="0" applyFont="1" applyFill="1" applyBorder="1" applyAlignment="1">
      <alignment horizontal="left" vertical="top" wrapText="1" indent="1"/>
    </xf>
    <xf numFmtId="0" fontId="3" fillId="2" borderId="2" xfId="0" applyFont="1" applyFill="1" applyBorder="1" applyAlignment="1">
      <alignment horizontal="center" vertical="top" wrapText="1"/>
    </xf>
    <xf numFmtId="0" fontId="3" fillId="2" borderId="4" xfId="0" applyFont="1" applyFill="1" applyBorder="1" applyAlignment="1">
      <alignment horizontal="center" vertical="top" wrapText="1"/>
    </xf>
    <xf numFmtId="0" fontId="12" fillId="0" borderId="5" xfId="0" applyFont="1" applyFill="1" applyBorder="1" applyAlignment="1">
      <alignment horizontal="left" vertical="top" wrapText="1"/>
    </xf>
    <xf numFmtId="0" fontId="12" fillId="0" borderId="8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9" xfId="0" applyFont="1" applyFill="1" applyBorder="1" applyAlignment="1">
      <alignment horizontal="left" vertical="top" wrapText="1"/>
    </xf>
    <xf numFmtId="0" fontId="0" fillId="0" borderId="3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2" fillId="0" borderId="6" xfId="0" applyFont="1" applyFill="1" applyBorder="1" applyAlignment="1">
      <alignment horizontal="left" vertical="top" wrapText="1"/>
    </xf>
    <xf numFmtId="0" fontId="12" fillId="0" borderId="7" xfId="0" applyFont="1" applyFill="1" applyBorder="1" applyAlignment="1">
      <alignment horizontal="left" vertical="top" wrapText="1"/>
    </xf>
    <xf numFmtId="0" fontId="12" fillId="0" borderId="0" xfId="0" applyFont="1" applyFill="1" applyBorder="1" applyAlignment="1">
      <alignment horizontal="left" vertical="top" wrapText="1"/>
    </xf>
    <xf numFmtId="0" fontId="12" fillId="0" borderId="9" xfId="0" applyFont="1" applyFill="1" applyBorder="1" applyAlignment="1">
      <alignment horizontal="left" vertical="top" wrapText="1"/>
    </xf>
    <xf numFmtId="0" fontId="12" fillId="0" borderId="10" xfId="0" applyFont="1" applyFill="1" applyBorder="1" applyAlignment="1">
      <alignment vertical="top" wrapText="1"/>
    </xf>
    <xf numFmtId="1" fontId="5" fillId="0" borderId="1" xfId="0" applyNumberFormat="1" applyFont="1" applyFill="1" applyBorder="1" applyAlignment="1">
      <alignment horizontal="right" vertical="center" shrinkToFit="1"/>
    </xf>
    <xf numFmtId="1" fontId="5" fillId="0" borderId="3" xfId="0" applyNumberFormat="1" applyFont="1" applyFill="1" applyBorder="1" applyAlignment="1">
      <alignment horizontal="right" vertical="center" shrinkToFit="1"/>
    </xf>
    <xf numFmtId="0" fontId="0" fillId="0" borderId="3" xfId="0" applyFill="1" applyBorder="1" applyAlignment="1">
      <alignment horizontal="right" vertical="center" wrapText="1"/>
    </xf>
    <xf numFmtId="1" fontId="6" fillId="2" borderId="2" xfId="0" applyNumberFormat="1" applyFont="1" applyFill="1" applyBorder="1" applyAlignment="1">
      <alignment horizontal="left" vertical="center" indent="1" shrinkToFit="1"/>
    </xf>
    <xf numFmtId="1" fontId="6" fillId="2" borderId="3" xfId="0" applyNumberFormat="1" applyFont="1" applyFill="1" applyBorder="1" applyAlignment="1">
      <alignment horizontal="left" vertical="center" indent="1" shrinkToFit="1"/>
    </xf>
    <xf numFmtId="1" fontId="6" fillId="2" borderId="4" xfId="0" applyNumberFormat="1" applyFont="1" applyFill="1" applyBorder="1" applyAlignment="1">
      <alignment horizontal="left" vertical="center" indent="1" shrinkToFit="1"/>
    </xf>
    <xf numFmtId="0" fontId="9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2" fillId="0" borderId="10" xfId="0" applyFont="1" applyFill="1" applyBorder="1" applyAlignment="1">
      <alignment horizontal="left" vertical="center" wrapText="1"/>
    </xf>
    <xf numFmtId="0" fontId="2" fillId="0" borderId="6" xfId="0" applyFont="1" applyFill="1" applyBorder="1" applyAlignment="1">
      <alignment vertical="top" wrapText="1"/>
    </xf>
    <xf numFmtId="0" fontId="2" fillId="0" borderId="7" xfId="0" applyFont="1" applyFill="1" applyBorder="1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2" fillId="0" borderId="9" xfId="0" applyFont="1" applyFill="1" applyBorder="1" applyAlignment="1">
      <alignment vertical="top" wrapText="1"/>
    </xf>
    <xf numFmtId="0" fontId="2" fillId="0" borderId="11" xfId="0" applyFont="1" applyFill="1" applyBorder="1" applyAlignment="1">
      <alignment vertical="top" wrapText="1"/>
    </xf>
    <xf numFmtId="0" fontId="2" fillId="0" borderId="12" xfId="0" applyFont="1" applyFill="1" applyBorder="1" applyAlignment="1">
      <alignment vertical="top" wrapText="1"/>
    </xf>
    <xf numFmtId="0" fontId="12" fillId="0" borderId="11" xfId="0" applyFont="1" applyFill="1" applyBorder="1" applyAlignment="1">
      <alignment horizontal="left" vertical="center" wrapText="1"/>
    </xf>
    <xf numFmtId="0" fontId="12" fillId="0" borderId="12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vertical="top" wrapText="1"/>
    </xf>
    <xf numFmtId="1" fontId="5" fillId="0" borderId="16" xfId="0" applyNumberFormat="1" applyFont="1" applyFill="1" applyBorder="1" applyAlignment="1">
      <alignment horizontal="left" vertical="top" shrinkToFit="1"/>
    </xf>
    <xf numFmtId="0" fontId="0" fillId="0" borderId="16" xfId="0" applyFill="1" applyBorder="1" applyAlignment="1">
      <alignment vertical="top" wrapText="1"/>
    </xf>
    <xf numFmtId="1" fontId="5" fillId="0" borderId="17" xfId="0" applyNumberFormat="1" applyFont="1" applyFill="1" applyBorder="1" applyAlignment="1">
      <alignment horizontal="left" vertical="top" shrinkToFit="1"/>
    </xf>
    <xf numFmtId="0" fontId="4" fillId="0" borderId="15" xfId="0" applyFont="1" applyFill="1" applyBorder="1" applyAlignment="1">
      <alignment horizontal="left" vertical="top" wrapText="1"/>
    </xf>
    <xf numFmtId="0" fontId="0" fillId="0" borderId="15" xfId="0" applyFill="1" applyBorder="1" applyAlignment="1">
      <alignment vertical="top" wrapText="1"/>
    </xf>
    <xf numFmtId="0" fontId="3" fillId="2" borderId="7" xfId="0" applyFont="1" applyFill="1" applyBorder="1" applyAlignment="1">
      <alignment horizontal="left" vertical="center" wrapText="1" indent="2"/>
    </xf>
    <xf numFmtId="0" fontId="3" fillId="2" borderId="12" xfId="0" applyFont="1" applyFill="1" applyBorder="1" applyAlignment="1">
      <alignment horizontal="left" vertical="center" wrapText="1" indent="2"/>
    </xf>
    <xf numFmtId="168" fontId="6" fillId="0" borderId="4" xfId="0" applyNumberFormat="1" applyFont="1" applyFill="1" applyBorder="1" applyAlignment="1">
      <alignment horizontal="right" vertical="top" shrinkToFit="1"/>
    </xf>
    <xf numFmtId="167" fontId="6" fillId="2" borderId="4" xfId="0" applyNumberFormat="1" applyFont="1" applyFill="1" applyBorder="1" applyAlignment="1">
      <alignment horizontal="right" vertical="top" shrinkToFit="1"/>
    </xf>
    <xf numFmtId="0" fontId="3" fillId="2" borderId="16" xfId="0" applyFont="1" applyFill="1" applyBorder="1" applyAlignment="1">
      <alignment horizontal="left" vertical="top" wrapText="1"/>
    </xf>
    <xf numFmtId="168" fontId="5" fillId="0" borderId="16" xfId="0" applyNumberFormat="1" applyFont="1" applyFill="1" applyBorder="1" applyAlignment="1">
      <alignment horizontal="left" vertical="top" indent="1" shrinkToFit="1"/>
    </xf>
    <xf numFmtId="165" fontId="5" fillId="0" borderId="2" xfId="0" applyNumberFormat="1" applyFont="1" applyFill="1" applyBorder="1" applyAlignment="1">
      <alignment horizontal="center" vertical="top" shrinkToFit="1"/>
    </xf>
    <xf numFmtId="167" fontId="6" fillId="2" borderId="16" xfId="0" applyNumberFormat="1" applyFont="1" applyFill="1" applyBorder="1" applyAlignment="1">
      <alignment horizontal="right" vertical="top" indent="3" shrinkToFit="1"/>
    </xf>
    <xf numFmtId="0" fontId="11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center" vertical="top" wrapText="1"/>
    </xf>
    <xf numFmtId="0" fontId="3" fillId="2" borderId="16" xfId="0" applyFont="1" applyFill="1" applyBorder="1" applyAlignment="1">
      <alignment horizontal="center" vertical="top" wrapText="1"/>
    </xf>
    <xf numFmtId="0" fontId="0" fillId="0" borderId="18" xfId="0" applyFill="1" applyBorder="1" applyAlignment="1">
      <alignment horizontal="left" vertical="top"/>
    </xf>
    <xf numFmtId="0" fontId="7" fillId="0" borderId="8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9" xfId="0" applyFont="1" applyFill="1" applyBorder="1" applyAlignment="1">
      <alignment horizontal="center" vertical="top" wrapText="1"/>
    </xf>
    <xf numFmtId="0" fontId="15" fillId="0" borderId="0" xfId="0" applyFont="1" applyFill="1" applyBorder="1" applyAlignment="1">
      <alignment horizontal="center" vertical="top" wrapText="1"/>
    </xf>
    <xf numFmtId="0" fontId="15" fillId="0" borderId="9" xfId="0" applyFont="1" applyFill="1" applyBorder="1" applyAlignment="1">
      <alignment horizontal="center" vertical="top" wrapText="1"/>
    </xf>
    <xf numFmtId="0" fontId="15" fillId="0" borderId="10" xfId="0" applyFont="1" applyFill="1" applyBorder="1" applyAlignment="1">
      <alignment horizontal="center" vertical="top" wrapText="1"/>
    </xf>
    <xf numFmtId="0" fontId="15" fillId="0" borderId="11" xfId="0" applyFont="1" applyFill="1" applyBorder="1" applyAlignment="1">
      <alignment horizontal="center" vertical="top" wrapText="1"/>
    </xf>
    <xf numFmtId="0" fontId="15" fillId="0" borderId="12" xfId="0" applyFont="1" applyFill="1" applyBorder="1" applyAlignment="1">
      <alignment horizontal="center" vertical="top" wrapText="1"/>
    </xf>
    <xf numFmtId="0" fontId="13" fillId="0" borderId="5" xfId="0" applyFont="1" applyFill="1" applyBorder="1" applyAlignment="1">
      <alignment horizontal="left" vertical="top" wrapText="1"/>
    </xf>
    <xf numFmtId="0" fontId="13" fillId="0" borderId="10" xfId="0" applyFont="1" applyFill="1" applyBorder="1" applyAlignment="1">
      <alignment horizontal="left" vertical="top" wrapText="1"/>
    </xf>
    <xf numFmtId="0" fontId="18" fillId="0" borderId="2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dhaienterprise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37"/>
  <sheetViews>
    <sheetView tabSelected="1" workbookViewId="0">
      <selection sqref="A1:N1"/>
    </sheetView>
  </sheetViews>
  <sheetFormatPr defaultRowHeight="13.2" x14ac:dyDescent="0.25"/>
  <cols>
    <col min="1" max="1" width="5.5546875" customWidth="1"/>
    <col min="2" max="2" width="22.21875" customWidth="1"/>
    <col min="3" max="3" width="11" customWidth="1"/>
    <col min="4" max="4" width="6" customWidth="1"/>
    <col min="5" max="5" width="5.6640625" customWidth="1"/>
    <col min="6" max="6" width="2.77734375" customWidth="1"/>
    <col min="8" max="8" width="10" customWidth="1"/>
    <col min="9" max="9" width="6.77734375" customWidth="1"/>
    <col min="11" max="11" width="8.6640625" customWidth="1"/>
    <col min="12" max="12" width="4.88671875" customWidth="1"/>
    <col min="13" max="13" width="6.33203125" style="139" customWidth="1"/>
    <col min="14" max="14" width="13.77734375" customWidth="1"/>
  </cols>
  <sheetData>
    <row r="1" spans="1:14" ht="111" customHeight="1" x14ac:dyDescent="0.25">
      <c r="A1" s="150" t="s">
        <v>37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2"/>
    </row>
    <row r="2" spans="1:14" ht="11.55" customHeight="1" x14ac:dyDescent="0.25">
      <c r="A2" s="104" t="s">
        <v>25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6"/>
    </row>
    <row r="3" spans="1:14" ht="6.6" customHeight="1" x14ac:dyDescent="0.25">
      <c r="A3" s="107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9"/>
    </row>
    <row r="4" spans="1:14" ht="11.4" hidden="1" customHeight="1" x14ac:dyDescent="0.25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2"/>
    </row>
    <row r="5" spans="1:14" ht="13.5" customHeight="1" x14ac:dyDescent="0.25">
      <c r="A5" s="87" t="s">
        <v>26</v>
      </c>
      <c r="B5" s="93"/>
      <c r="C5" s="93"/>
      <c r="D5" s="93"/>
      <c r="E5" s="93"/>
      <c r="F5" s="93"/>
      <c r="G5" s="94"/>
      <c r="H5" s="87" t="s">
        <v>33</v>
      </c>
      <c r="I5" s="93"/>
      <c r="J5" s="93"/>
      <c r="K5" s="93"/>
      <c r="L5" s="114" t="s">
        <v>27</v>
      </c>
      <c r="M5" s="114"/>
      <c r="N5" s="115"/>
    </row>
    <row r="6" spans="1:14" ht="13.2" customHeight="1" x14ac:dyDescent="0.25">
      <c r="A6" s="88"/>
      <c r="B6" s="95"/>
      <c r="C6" s="95"/>
      <c r="D6" s="95"/>
      <c r="E6" s="95"/>
      <c r="F6" s="95"/>
      <c r="G6" s="96"/>
      <c r="H6" s="88" t="s">
        <v>34</v>
      </c>
      <c r="I6" s="95"/>
      <c r="J6" s="95"/>
      <c r="K6" s="95"/>
      <c r="L6" s="116" t="s">
        <v>28</v>
      </c>
      <c r="M6" s="116"/>
      <c r="N6" s="117"/>
    </row>
    <row r="7" spans="1:14" ht="12" customHeight="1" x14ac:dyDescent="0.25">
      <c r="A7" s="88"/>
      <c r="B7" s="95"/>
      <c r="C7" s="95"/>
      <c r="D7" s="95"/>
      <c r="E7" s="95"/>
      <c r="F7" s="95"/>
      <c r="G7" s="96"/>
      <c r="H7" s="88" t="s">
        <v>30</v>
      </c>
      <c r="I7" s="95"/>
      <c r="J7" s="95"/>
      <c r="K7" s="95"/>
      <c r="L7" s="89" t="s">
        <v>27</v>
      </c>
      <c r="M7" s="89"/>
      <c r="N7" s="90"/>
    </row>
    <row r="8" spans="1:14" ht="21" customHeight="1" x14ac:dyDescent="0.25">
      <c r="A8" s="113" t="s">
        <v>29</v>
      </c>
      <c r="B8" s="120"/>
      <c r="C8" s="120"/>
      <c r="D8" s="120"/>
      <c r="E8" s="120"/>
      <c r="F8" s="120"/>
      <c r="G8" s="121"/>
      <c r="H8" s="97" t="s">
        <v>31</v>
      </c>
      <c r="I8" s="118"/>
      <c r="J8" s="118"/>
      <c r="K8" s="118"/>
      <c r="L8" s="118"/>
      <c r="M8" s="118"/>
      <c r="N8" s="119"/>
    </row>
    <row r="9" spans="1:14" ht="15" customHeight="1" x14ac:dyDescent="0.25">
      <c r="A9" s="75" t="s">
        <v>0</v>
      </c>
      <c r="B9" s="77" t="s">
        <v>1</v>
      </c>
      <c r="C9" s="77" t="s">
        <v>2</v>
      </c>
      <c r="D9" s="77" t="s">
        <v>3</v>
      </c>
      <c r="E9" s="79" t="s">
        <v>4</v>
      </c>
      <c r="F9" s="80"/>
      <c r="G9" s="77" t="s">
        <v>5</v>
      </c>
      <c r="H9" s="83" t="s">
        <v>6</v>
      </c>
      <c r="I9" s="85" t="s">
        <v>7</v>
      </c>
      <c r="J9" s="86"/>
      <c r="K9" s="85" t="s">
        <v>8</v>
      </c>
      <c r="L9" s="137"/>
      <c r="M9" s="138"/>
      <c r="N9" s="128" t="s">
        <v>9</v>
      </c>
    </row>
    <row r="10" spans="1:14" ht="15" customHeight="1" x14ac:dyDescent="0.25">
      <c r="A10" s="76"/>
      <c r="B10" s="78"/>
      <c r="C10" s="78"/>
      <c r="D10" s="78"/>
      <c r="E10" s="81"/>
      <c r="F10" s="82"/>
      <c r="G10" s="78"/>
      <c r="H10" s="84"/>
      <c r="I10" s="1" t="s">
        <v>5</v>
      </c>
      <c r="J10" s="1" t="s">
        <v>10</v>
      </c>
      <c r="K10" s="1" t="s">
        <v>5</v>
      </c>
      <c r="L10" s="136" t="s">
        <v>32</v>
      </c>
      <c r="M10" s="132"/>
      <c r="N10" s="129"/>
    </row>
    <row r="11" spans="1:14" ht="15" customHeight="1" x14ac:dyDescent="0.25">
      <c r="A11" s="2">
        <v>1</v>
      </c>
      <c r="B11" s="3" t="s">
        <v>11</v>
      </c>
      <c r="C11" s="4">
        <v>3924</v>
      </c>
      <c r="D11" s="98">
        <v>2000</v>
      </c>
      <c r="E11" s="73" t="s">
        <v>12</v>
      </c>
      <c r="F11" s="74"/>
      <c r="G11" s="5">
        <v>1.5</v>
      </c>
      <c r="H11" s="12">
        <f>D11*G11</f>
        <v>3000</v>
      </c>
      <c r="I11" s="6">
        <v>0.09</v>
      </c>
      <c r="J11" s="13">
        <f>H11*I11</f>
        <v>270</v>
      </c>
      <c r="K11" s="6">
        <v>0.09</v>
      </c>
      <c r="L11" s="15">
        <f>H11*K11</f>
        <v>270</v>
      </c>
      <c r="M11" s="133"/>
      <c r="N11" s="130">
        <f>SUM(H11,J11,L11)</f>
        <v>3540</v>
      </c>
    </row>
    <row r="12" spans="1:14" ht="15" customHeight="1" x14ac:dyDescent="0.25">
      <c r="A12" s="2"/>
      <c r="B12" s="14" t="s">
        <v>24</v>
      </c>
      <c r="C12" s="125">
        <v>234</v>
      </c>
      <c r="D12" s="99">
        <v>5000</v>
      </c>
      <c r="E12" s="73" t="s">
        <v>12</v>
      </c>
      <c r="F12" s="74"/>
      <c r="G12" s="10">
        <v>1.3</v>
      </c>
      <c r="H12" s="12">
        <f t="shared" ref="H12:H27" si="0">D12*G12</f>
        <v>6500</v>
      </c>
      <c r="I12" s="11">
        <v>0.09</v>
      </c>
      <c r="J12" s="13">
        <f t="shared" ref="J12:J27" si="1">H12*I12</f>
        <v>585</v>
      </c>
      <c r="K12" s="134">
        <v>0.09</v>
      </c>
      <c r="L12" s="15">
        <f>H12*K12</f>
        <v>585</v>
      </c>
      <c r="M12" s="133"/>
      <c r="N12" s="130">
        <f t="shared" ref="N12:N27" si="2">SUM(H12,J12,L12)</f>
        <v>7670</v>
      </c>
    </row>
    <row r="13" spans="1:14" ht="15" customHeight="1" x14ac:dyDescent="0.25">
      <c r="A13" s="2"/>
      <c r="B13" s="126"/>
      <c r="C13" s="123"/>
      <c r="D13" s="99"/>
      <c r="E13" s="73" t="s">
        <v>12</v>
      </c>
      <c r="F13" s="74"/>
      <c r="G13" s="10"/>
      <c r="H13" s="12">
        <f t="shared" si="0"/>
        <v>0</v>
      </c>
      <c r="I13" s="11"/>
      <c r="J13" s="13">
        <f t="shared" si="1"/>
        <v>0</v>
      </c>
      <c r="K13" s="134"/>
      <c r="L13" s="15">
        <f t="shared" ref="L13:L27" si="3">H13*K13</f>
        <v>0</v>
      </c>
      <c r="M13" s="133"/>
      <c r="N13" s="130">
        <f t="shared" si="2"/>
        <v>0</v>
      </c>
    </row>
    <row r="14" spans="1:14" ht="15" customHeight="1" x14ac:dyDescent="0.25">
      <c r="A14" s="2"/>
      <c r="B14" s="126"/>
      <c r="C14" s="123"/>
      <c r="D14" s="99"/>
      <c r="E14" s="73" t="s">
        <v>12</v>
      </c>
      <c r="F14" s="74"/>
      <c r="G14" s="10"/>
      <c r="H14" s="12">
        <f t="shared" si="0"/>
        <v>0</v>
      </c>
      <c r="I14" s="11"/>
      <c r="J14" s="13">
        <f t="shared" si="1"/>
        <v>0</v>
      </c>
      <c r="K14" s="134"/>
      <c r="L14" s="15">
        <f t="shared" si="3"/>
        <v>0</v>
      </c>
      <c r="M14" s="133"/>
      <c r="N14" s="130">
        <f t="shared" si="2"/>
        <v>0</v>
      </c>
    </row>
    <row r="15" spans="1:14" ht="15" customHeight="1" x14ac:dyDescent="0.25">
      <c r="A15" s="2"/>
      <c r="B15" s="126"/>
      <c r="C15" s="123"/>
      <c r="D15" s="99"/>
      <c r="E15" s="73" t="s">
        <v>12</v>
      </c>
      <c r="F15" s="74"/>
      <c r="G15" s="10"/>
      <c r="H15" s="12">
        <f t="shared" si="0"/>
        <v>0</v>
      </c>
      <c r="I15" s="11"/>
      <c r="J15" s="13">
        <f t="shared" si="1"/>
        <v>0</v>
      </c>
      <c r="K15" s="134"/>
      <c r="L15" s="15">
        <f t="shared" si="3"/>
        <v>0</v>
      </c>
      <c r="M15" s="133"/>
      <c r="N15" s="130">
        <f t="shared" si="2"/>
        <v>0</v>
      </c>
    </row>
    <row r="16" spans="1:14" ht="15" customHeight="1" x14ac:dyDescent="0.25">
      <c r="A16" s="2"/>
      <c r="B16" s="126"/>
      <c r="C16" s="123"/>
      <c r="D16" s="99"/>
      <c r="E16" s="73" t="s">
        <v>12</v>
      </c>
      <c r="F16" s="74"/>
      <c r="G16" s="10"/>
      <c r="H16" s="12">
        <f t="shared" si="0"/>
        <v>0</v>
      </c>
      <c r="I16" s="11"/>
      <c r="J16" s="13">
        <f t="shared" si="1"/>
        <v>0</v>
      </c>
      <c r="K16" s="134"/>
      <c r="L16" s="15">
        <f t="shared" si="3"/>
        <v>0</v>
      </c>
      <c r="M16" s="133"/>
      <c r="N16" s="130">
        <f t="shared" si="2"/>
        <v>0</v>
      </c>
    </row>
    <row r="17" spans="1:14" ht="15" customHeight="1" x14ac:dyDescent="0.25">
      <c r="A17" s="2"/>
      <c r="B17" s="126"/>
      <c r="C17" s="123"/>
      <c r="D17" s="99"/>
      <c r="E17" s="73" t="s">
        <v>12</v>
      </c>
      <c r="F17" s="74"/>
      <c r="G17" s="10"/>
      <c r="H17" s="12">
        <f t="shared" si="0"/>
        <v>0</v>
      </c>
      <c r="I17" s="11"/>
      <c r="J17" s="13">
        <f t="shared" si="1"/>
        <v>0</v>
      </c>
      <c r="K17" s="134"/>
      <c r="L17" s="15">
        <f t="shared" si="3"/>
        <v>0</v>
      </c>
      <c r="M17" s="133"/>
      <c r="N17" s="130">
        <f t="shared" si="2"/>
        <v>0</v>
      </c>
    </row>
    <row r="18" spans="1:14" ht="15" customHeight="1" x14ac:dyDescent="0.25">
      <c r="A18" s="2"/>
      <c r="B18" s="126"/>
      <c r="C18" s="123"/>
      <c r="D18" s="99"/>
      <c r="E18" s="73" t="s">
        <v>12</v>
      </c>
      <c r="F18" s="74"/>
      <c r="G18" s="10"/>
      <c r="H18" s="12">
        <f t="shared" si="0"/>
        <v>0</v>
      </c>
      <c r="I18" s="11"/>
      <c r="J18" s="13">
        <f t="shared" si="1"/>
        <v>0</v>
      </c>
      <c r="K18" s="134"/>
      <c r="L18" s="15">
        <f t="shared" si="3"/>
        <v>0</v>
      </c>
      <c r="M18" s="133"/>
      <c r="N18" s="130">
        <f t="shared" si="2"/>
        <v>0</v>
      </c>
    </row>
    <row r="19" spans="1:14" ht="15" customHeight="1" x14ac:dyDescent="0.25">
      <c r="A19" s="2"/>
      <c r="B19" s="126"/>
      <c r="C19" s="123"/>
      <c r="D19" s="99"/>
      <c r="E19" s="73" t="s">
        <v>12</v>
      </c>
      <c r="F19" s="74"/>
      <c r="G19" s="10"/>
      <c r="H19" s="12">
        <f t="shared" si="0"/>
        <v>0</v>
      </c>
      <c r="I19" s="11"/>
      <c r="J19" s="13">
        <f t="shared" si="1"/>
        <v>0</v>
      </c>
      <c r="K19" s="134"/>
      <c r="L19" s="15">
        <f t="shared" si="3"/>
        <v>0</v>
      </c>
      <c r="M19" s="133"/>
      <c r="N19" s="130">
        <f t="shared" si="2"/>
        <v>0</v>
      </c>
    </row>
    <row r="20" spans="1:14" ht="15" customHeight="1" x14ac:dyDescent="0.25">
      <c r="A20" s="2"/>
      <c r="B20" s="126"/>
      <c r="C20" s="123"/>
      <c r="D20" s="99">
        <v>2332</v>
      </c>
      <c r="E20" s="73" t="s">
        <v>12</v>
      </c>
      <c r="F20" s="74"/>
      <c r="G20" s="10">
        <v>1</v>
      </c>
      <c r="H20" s="12">
        <f t="shared" si="0"/>
        <v>2332</v>
      </c>
      <c r="I20" s="11"/>
      <c r="J20" s="13">
        <f t="shared" si="1"/>
        <v>0</v>
      </c>
      <c r="K20" s="134"/>
      <c r="L20" s="15">
        <f t="shared" si="3"/>
        <v>0</v>
      </c>
      <c r="M20" s="133"/>
      <c r="N20" s="130">
        <f t="shared" si="2"/>
        <v>2332</v>
      </c>
    </row>
    <row r="21" spans="1:14" ht="15" customHeight="1" x14ac:dyDescent="0.25">
      <c r="A21" s="2"/>
      <c r="B21" s="126"/>
      <c r="C21" s="123"/>
      <c r="D21" s="99">
        <v>23</v>
      </c>
      <c r="E21" s="73" t="s">
        <v>12</v>
      </c>
      <c r="F21" s="74"/>
      <c r="G21" s="10"/>
      <c r="H21" s="12">
        <f t="shared" si="0"/>
        <v>0</v>
      </c>
      <c r="I21" s="11"/>
      <c r="J21" s="13">
        <f t="shared" si="1"/>
        <v>0</v>
      </c>
      <c r="K21" s="134"/>
      <c r="L21" s="15">
        <f t="shared" si="3"/>
        <v>0</v>
      </c>
      <c r="M21" s="133"/>
      <c r="N21" s="130">
        <f t="shared" si="2"/>
        <v>0</v>
      </c>
    </row>
    <row r="22" spans="1:14" ht="15" customHeight="1" x14ac:dyDescent="0.25">
      <c r="A22" s="2"/>
      <c r="B22" s="126"/>
      <c r="C22" s="123"/>
      <c r="D22" s="99"/>
      <c r="E22" s="73" t="s">
        <v>12</v>
      </c>
      <c r="F22" s="74"/>
      <c r="G22" s="10"/>
      <c r="H22" s="12">
        <f t="shared" si="0"/>
        <v>0</v>
      </c>
      <c r="I22" s="11"/>
      <c r="J22" s="13">
        <f t="shared" si="1"/>
        <v>0</v>
      </c>
      <c r="K22" s="134"/>
      <c r="L22" s="15">
        <f t="shared" si="3"/>
        <v>0</v>
      </c>
      <c r="M22" s="133"/>
      <c r="N22" s="130">
        <f t="shared" si="2"/>
        <v>0</v>
      </c>
    </row>
    <row r="23" spans="1:14" ht="15" customHeight="1" x14ac:dyDescent="0.25">
      <c r="A23" s="2"/>
      <c r="B23" s="126"/>
      <c r="C23" s="123"/>
      <c r="D23" s="99"/>
      <c r="E23" s="73" t="s">
        <v>12</v>
      </c>
      <c r="F23" s="74"/>
      <c r="G23" s="10"/>
      <c r="H23" s="12">
        <f t="shared" si="0"/>
        <v>0</v>
      </c>
      <c r="I23" s="11"/>
      <c r="J23" s="13">
        <f t="shared" si="1"/>
        <v>0</v>
      </c>
      <c r="K23" s="134"/>
      <c r="L23" s="15">
        <f t="shared" si="3"/>
        <v>0</v>
      </c>
      <c r="M23" s="133"/>
      <c r="N23" s="130">
        <f t="shared" si="2"/>
        <v>0</v>
      </c>
    </row>
    <row r="24" spans="1:14" ht="15" customHeight="1" x14ac:dyDescent="0.25">
      <c r="A24" s="2"/>
      <c r="B24" s="126"/>
      <c r="C24" s="123"/>
      <c r="D24" s="99"/>
      <c r="E24" s="73" t="s">
        <v>12</v>
      </c>
      <c r="F24" s="74"/>
      <c r="G24" s="10"/>
      <c r="H24" s="12">
        <f t="shared" si="0"/>
        <v>0</v>
      </c>
      <c r="I24" s="11"/>
      <c r="J24" s="13">
        <f t="shared" si="1"/>
        <v>0</v>
      </c>
      <c r="K24" s="134"/>
      <c r="L24" s="15">
        <f t="shared" si="3"/>
        <v>0</v>
      </c>
      <c r="M24" s="133"/>
      <c r="N24" s="130">
        <f t="shared" si="2"/>
        <v>0</v>
      </c>
    </row>
    <row r="25" spans="1:14" ht="15" customHeight="1" x14ac:dyDescent="0.25">
      <c r="A25" s="2"/>
      <c r="B25" s="126"/>
      <c r="C25" s="123"/>
      <c r="D25" s="99"/>
      <c r="E25" s="73" t="s">
        <v>12</v>
      </c>
      <c r="F25" s="74"/>
      <c r="G25" s="10"/>
      <c r="H25" s="12">
        <f t="shared" si="0"/>
        <v>0</v>
      </c>
      <c r="I25" s="11"/>
      <c r="J25" s="13">
        <f t="shared" si="1"/>
        <v>0</v>
      </c>
      <c r="K25" s="134"/>
      <c r="L25" s="15">
        <f t="shared" si="3"/>
        <v>0</v>
      </c>
      <c r="M25" s="133"/>
      <c r="N25" s="130">
        <f t="shared" si="2"/>
        <v>0</v>
      </c>
    </row>
    <row r="26" spans="1:14" ht="15" customHeight="1" x14ac:dyDescent="0.25">
      <c r="A26" s="2"/>
      <c r="B26" s="126"/>
      <c r="C26" s="123"/>
      <c r="D26" s="99"/>
      <c r="E26" s="73" t="s">
        <v>12</v>
      </c>
      <c r="F26" s="74"/>
      <c r="G26" s="10"/>
      <c r="H26" s="12">
        <f t="shared" si="0"/>
        <v>0</v>
      </c>
      <c r="I26" s="11"/>
      <c r="J26" s="13">
        <f t="shared" si="1"/>
        <v>0</v>
      </c>
      <c r="K26" s="134"/>
      <c r="L26" s="15">
        <f t="shared" si="3"/>
        <v>0</v>
      </c>
      <c r="M26" s="133"/>
      <c r="N26" s="130">
        <f t="shared" si="2"/>
        <v>0</v>
      </c>
    </row>
    <row r="27" spans="1:14" ht="15" customHeight="1" x14ac:dyDescent="0.25">
      <c r="A27" s="122"/>
      <c r="B27" s="127"/>
      <c r="C27" s="124"/>
      <c r="D27" s="100"/>
      <c r="E27" s="73" t="s">
        <v>12</v>
      </c>
      <c r="F27" s="74"/>
      <c r="G27" s="8"/>
      <c r="H27" s="12">
        <f t="shared" si="0"/>
        <v>0</v>
      </c>
      <c r="I27" s="8"/>
      <c r="J27" s="13">
        <f t="shared" si="1"/>
        <v>0</v>
      </c>
      <c r="K27" s="9"/>
      <c r="L27" s="15">
        <f t="shared" si="3"/>
        <v>0</v>
      </c>
      <c r="M27" s="133"/>
      <c r="N27" s="130">
        <f t="shared" si="2"/>
        <v>0</v>
      </c>
    </row>
    <row r="28" spans="1:14" ht="15.45" customHeight="1" x14ac:dyDescent="0.25">
      <c r="A28" s="58" t="s">
        <v>13</v>
      </c>
      <c r="B28" s="59"/>
      <c r="C28" s="60"/>
      <c r="D28" s="101">
        <f>SUM(D11:D27)</f>
        <v>9355</v>
      </c>
      <c r="E28" s="102"/>
      <c r="F28" s="102"/>
      <c r="G28" s="103"/>
      <c r="H28" s="7">
        <f>SUM(H11:H27)</f>
        <v>11832</v>
      </c>
      <c r="I28" s="61">
        <f>SUM(J11:J27)</f>
        <v>855</v>
      </c>
      <c r="J28" s="62"/>
      <c r="K28" s="61">
        <f>SUM(L11:L27)</f>
        <v>855</v>
      </c>
      <c r="L28" s="63"/>
      <c r="M28" s="135"/>
      <c r="N28" s="131">
        <f>SUM(N11:N27)</f>
        <v>13542</v>
      </c>
    </row>
    <row r="29" spans="1:14" ht="15" customHeight="1" x14ac:dyDescent="0.25">
      <c r="A29" s="64"/>
      <c r="B29" s="65"/>
      <c r="C29" s="65"/>
      <c r="D29" s="65"/>
      <c r="E29" s="65"/>
      <c r="F29" s="65"/>
      <c r="G29" s="65"/>
      <c r="H29" s="66"/>
      <c r="I29" s="67" t="s">
        <v>14</v>
      </c>
      <c r="J29" s="68"/>
      <c r="K29" s="69"/>
      <c r="L29" s="70" t="s">
        <v>15</v>
      </c>
      <c r="M29" s="71"/>
      <c r="N29" s="72"/>
    </row>
    <row r="30" spans="1:14" ht="15" customHeight="1" x14ac:dyDescent="0.25">
      <c r="A30" s="140" t="s">
        <v>16</v>
      </c>
      <c r="B30" s="141"/>
      <c r="C30" s="141"/>
      <c r="D30" s="141"/>
      <c r="E30" s="141"/>
      <c r="F30" s="141"/>
      <c r="G30" s="141"/>
      <c r="H30" s="142"/>
      <c r="I30" s="148" t="s">
        <v>35</v>
      </c>
      <c r="J30" s="20"/>
      <c r="K30" s="21"/>
      <c r="L30" s="46">
        <f>I28</f>
        <v>855</v>
      </c>
      <c r="M30" s="47"/>
      <c r="N30" s="48"/>
    </row>
    <row r="31" spans="1:14" ht="14.25" customHeight="1" x14ac:dyDescent="0.25">
      <c r="A31" s="49" t="str">
        <f>RupeeFormat(L34)</f>
        <v xml:space="preserve"> Rupees Thirteen Thousand  Five Hundred Forty Two Only</v>
      </c>
      <c r="B31" s="143"/>
      <c r="C31" s="143"/>
      <c r="D31" s="143"/>
      <c r="E31" s="143"/>
      <c r="F31" s="143"/>
      <c r="G31" s="143"/>
      <c r="H31" s="144"/>
      <c r="I31" s="149" t="s">
        <v>36</v>
      </c>
      <c r="J31" s="50"/>
      <c r="K31" s="51"/>
      <c r="L31" s="52">
        <f>K28</f>
        <v>855</v>
      </c>
      <c r="M31" s="53"/>
      <c r="N31" s="54"/>
    </row>
    <row r="32" spans="1:14" ht="5.25" customHeight="1" x14ac:dyDescent="0.25">
      <c r="A32" s="49"/>
      <c r="B32" s="143"/>
      <c r="C32" s="143"/>
      <c r="D32" s="143"/>
      <c r="E32" s="143"/>
      <c r="F32" s="143"/>
      <c r="G32" s="143"/>
      <c r="H32" s="144"/>
      <c r="I32" s="55"/>
      <c r="J32" s="56"/>
      <c r="K32" s="57"/>
      <c r="L32" s="55"/>
      <c r="M32" s="56"/>
      <c r="N32" s="57"/>
    </row>
    <row r="33" spans="1:14" ht="12" customHeight="1" x14ac:dyDescent="0.25">
      <c r="A33" s="49"/>
      <c r="B33" s="143"/>
      <c r="C33" s="143"/>
      <c r="D33" s="143"/>
      <c r="E33" s="143"/>
      <c r="F33" s="143"/>
      <c r="G33" s="143"/>
      <c r="H33" s="144"/>
      <c r="I33" s="34" t="s">
        <v>17</v>
      </c>
      <c r="J33" s="35"/>
      <c r="K33" s="36"/>
      <c r="L33" s="37">
        <f>SUM(L30:N31)</f>
        <v>1710</v>
      </c>
      <c r="M33" s="38"/>
      <c r="N33" s="39"/>
    </row>
    <row r="34" spans="1:14" ht="15.75" customHeight="1" x14ac:dyDescent="0.25">
      <c r="A34" s="145"/>
      <c r="B34" s="146"/>
      <c r="C34" s="146"/>
      <c r="D34" s="146"/>
      <c r="E34" s="146"/>
      <c r="F34" s="146"/>
      <c r="G34" s="146"/>
      <c r="H34" s="147"/>
      <c r="I34" s="40" t="s">
        <v>18</v>
      </c>
      <c r="J34" s="41"/>
      <c r="K34" s="42"/>
      <c r="L34" s="43">
        <f>N28</f>
        <v>13542</v>
      </c>
      <c r="M34" s="44"/>
      <c r="N34" s="45"/>
    </row>
    <row r="35" spans="1:14" ht="19.95" customHeight="1" x14ac:dyDescent="0.25">
      <c r="A35" s="16" t="s">
        <v>19</v>
      </c>
      <c r="B35" s="17"/>
      <c r="C35" s="17"/>
      <c r="D35" s="17"/>
      <c r="E35" s="17"/>
      <c r="F35" s="17"/>
      <c r="G35" s="17"/>
      <c r="H35" s="18"/>
      <c r="I35" s="19" t="s">
        <v>20</v>
      </c>
      <c r="J35" s="20"/>
      <c r="K35" s="20"/>
      <c r="L35" s="20"/>
      <c r="M35" s="20"/>
      <c r="N35" s="21"/>
    </row>
    <row r="36" spans="1:14" ht="55.8" customHeight="1" x14ac:dyDescent="0.25">
      <c r="A36" s="22" t="s">
        <v>21</v>
      </c>
      <c r="B36" s="23"/>
      <c r="C36" s="23"/>
      <c r="D36" s="23"/>
      <c r="E36" s="23"/>
      <c r="F36" s="23"/>
      <c r="G36" s="23"/>
      <c r="H36" s="24"/>
      <c r="I36" s="25" t="s">
        <v>22</v>
      </c>
      <c r="J36" s="26"/>
      <c r="K36" s="26"/>
      <c r="L36" s="26"/>
      <c r="M36" s="26"/>
      <c r="N36" s="27"/>
    </row>
    <row r="37" spans="1:14" ht="50.55" customHeight="1" x14ac:dyDescent="0.3">
      <c r="A37" s="28"/>
      <c r="B37" s="29"/>
      <c r="C37" s="29"/>
      <c r="D37" s="29"/>
      <c r="E37" s="29"/>
      <c r="F37" s="29"/>
      <c r="G37" s="29"/>
      <c r="H37" s="30"/>
      <c r="I37" s="31" t="s">
        <v>23</v>
      </c>
      <c r="J37" s="32"/>
      <c r="K37" s="32"/>
      <c r="L37" s="32"/>
      <c r="M37" s="32"/>
      <c r="N37" s="33"/>
    </row>
  </sheetData>
  <mergeCells count="81">
    <mergeCell ref="E26:F26"/>
    <mergeCell ref="E27:F27"/>
    <mergeCell ref="A2:N4"/>
    <mergeCell ref="A5:G7"/>
    <mergeCell ref="L5:N5"/>
    <mergeCell ref="L6:N6"/>
    <mergeCell ref="A8:G8"/>
    <mergeCell ref="H7:K7"/>
    <mergeCell ref="L7:N7"/>
    <mergeCell ref="E14:F14"/>
    <mergeCell ref="E21:F21"/>
    <mergeCell ref="E22:F22"/>
    <mergeCell ref="E23:F23"/>
    <mergeCell ref="E24:F24"/>
    <mergeCell ref="E25:F25"/>
    <mergeCell ref="E12:F12"/>
    <mergeCell ref="E13:F13"/>
    <mergeCell ref="E15:F15"/>
    <mergeCell ref="E17:F17"/>
    <mergeCell ref="E20:F20"/>
    <mergeCell ref="E16:F16"/>
    <mergeCell ref="E18:F18"/>
    <mergeCell ref="E19:F19"/>
    <mergeCell ref="A1:N1"/>
    <mergeCell ref="H8:N8"/>
    <mergeCell ref="H5:K5"/>
    <mergeCell ref="H6:K6"/>
    <mergeCell ref="N9:N10"/>
    <mergeCell ref="L10:M10"/>
    <mergeCell ref="E11:F11"/>
    <mergeCell ref="L11:M11"/>
    <mergeCell ref="A9:A10"/>
    <mergeCell ref="B9:B10"/>
    <mergeCell ref="C9:C10"/>
    <mergeCell ref="D9:D10"/>
    <mergeCell ref="E9:F10"/>
    <mergeCell ref="G9:G10"/>
    <mergeCell ref="H9:H10"/>
    <mergeCell ref="I9:J9"/>
    <mergeCell ref="K9:M9"/>
    <mergeCell ref="A28:C28"/>
    <mergeCell ref="D28:G28"/>
    <mergeCell ref="I28:J28"/>
    <mergeCell ref="K28:M28"/>
    <mergeCell ref="A29:H29"/>
    <mergeCell ref="I29:K29"/>
    <mergeCell ref="L29:N29"/>
    <mergeCell ref="A30:H30"/>
    <mergeCell ref="I30:K30"/>
    <mergeCell ref="L30:N30"/>
    <mergeCell ref="I31:K31"/>
    <mergeCell ref="L31:N31"/>
    <mergeCell ref="I32:K32"/>
    <mergeCell ref="L32:N32"/>
    <mergeCell ref="A31:H34"/>
    <mergeCell ref="I33:K33"/>
    <mergeCell ref="L33:N33"/>
    <mergeCell ref="I34:K34"/>
    <mergeCell ref="L34:N34"/>
    <mergeCell ref="A35:H35"/>
    <mergeCell ref="I35:N35"/>
    <mergeCell ref="A36:H36"/>
    <mergeCell ref="I36:N36"/>
    <mergeCell ref="A37:H37"/>
    <mergeCell ref="I37:N37"/>
    <mergeCell ref="L12:M12"/>
    <mergeCell ref="L13:M13"/>
    <mergeCell ref="L15:M15"/>
    <mergeCell ref="L17:M17"/>
    <mergeCell ref="L20:M20"/>
    <mergeCell ref="L14:M14"/>
    <mergeCell ref="L16:M16"/>
    <mergeCell ref="L18:M18"/>
    <mergeCell ref="L19:M19"/>
    <mergeCell ref="L26:M26"/>
    <mergeCell ref="L27:M27"/>
    <mergeCell ref="L21:M21"/>
    <mergeCell ref="L22:M22"/>
    <mergeCell ref="L23:M23"/>
    <mergeCell ref="L24:M24"/>
    <mergeCell ref="L25:M25"/>
  </mergeCells>
  <hyperlinks>
    <hyperlink ref="A1" r:id="rId1" display="mailto:sudhaienterprises@gmail.com" xr:uid="{00000000-0004-0000-0000-000000000000}"/>
  </hyperlinks>
  <printOptions horizontalCentered="1" verticalCentered="1"/>
  <pageMargins left="0.25" right="0.25" top="0.75" bottom="0.75" header="0.3" footer="0.3"/>
  <pageSetup paperSize="9" scale="91" fitToHeight="0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Pratik Kulkarni</dc:creator>
  <cp:lastModifiedBy>Pratik Kulkarni</cp:lastModifiedBy>
  <cp:lastPrinted>2023-11-28T19:01:07Z</cp:lastPrinted>
  <dcterms:created xsi:type="dcterms:W3CDTF">2023-11-28T16:47:29Z</dcterms:created>
  <dcterms:modified xsi:type="dcterms:W3CDTF">2023-11-28T19:05:24Z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2023-11-10T00:00:00Z</vt:filetime>
  </property>
  <property fmtid="{D5CDD505-2E9C-101B-9397-08002B2CF9AE}" pid="3" name="Creator">
    <vt:lpwstr>wkhtmltopdf 0.12.5</vt:lpwstr>
  </property>
  <property fmtid="{D5CDD505-2E9C-101B-9397-08002B2CF9AE}" pid="4" name="Producer">
    <vt:lpwstr>Qt 5.11.3</vt:lpwstr>
  </property>
  <property fmtid="{D5CDD505-2E9C-101B-9397-08002B2CF9AE}" pid="5" name="LastSaved">
    <vt:filetime>2023-11-10T00:00:00Z</vt:filetime>
  </property>
</Properties>
</file>